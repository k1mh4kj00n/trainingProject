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08_이찬민\HYPO\"/>
    </mc:Choice>
  </mc:AlternateContent>
  <xr:revisionPtr revIDLastSave="0" documentId="13_ncr:1_{D97F3613-6997-4915-85DB-0A4972E9B7A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fo,GXT" sheetId="1" r:id="rId1"/>
    <sheet name="Timepoint" sheetId="2" r:id="rId2"/>
    <sheet name="SpO2,BP,TQR,La" sheetId="3" r:id="rId3"/>
    <sheet name="Coded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C9" i="2"/>
  <c r="P2" i="1"/>
  <c r="O2" i="1"/>
  <c r="N2" i="1"/>
  <c r="K2" i="1"/>
  <c r="J2" i="1"/>
  <c r="D2" i="1"/>
  <c r="C5" i="3"/>
  <c r="B5" i="3"/>
  <c r="F9" i="2" l="1"/>
</calcChain>
</file>

<file path=xl/sharedStrings.xml><?xml version="1.0" encoding="utf-8"?>
<sst xmlns="http://schemas.openxmlformats.org/spreadsheetml/2006/main" count="169" uniqueCount="107">
  <si>
    <t>Name</t>
    <phoneticPr fontId="1" type="noConversion"/>
  </si>
  <si>
    <t>D.O.B</t>
    <phoneticPr fontId="1" type="noConversion"/>
  </si>
  <si>
    <t>Age</t>
    <phoneticPr fontId="1" type="noConversion"/>
  </si>
  <si>
    <t>Gender</t>
    <phoneticPr fontId="1" type="noConversion"/>
  </si>
  <si>
    <t>Weight(kg)</t>
    <phoneticPr fontId="1" type="noConversion"/>
  </si>
  <si>
    <t>Height(cm)</t>
    <phoneticPr fontId="1" type="noConversion"/>
  </si>
  <si>
    <t>Wattmax</t>
    <phoneticPr fontId="1" type="noConversion"/>
  </si>
  <si>
    <t>VO2max</t>
    <phoneticPr fontId="1" type="noConversion"/>
  </si>
  <si>
    <t>W/kg</t>
    <phoneticPr fontId="1" type="noConversion"/>
  </si>
  <si>
    <t>FTP</t>
    <phoneticPr fontId="1" type="noConversion"/>
  </si>
  <si>
    <t>AT(VT1)</t>
    <phoneticPr fontId="1" type="noConversion"/>
  </si>
  <si>
    <t>RC(VT2)</t>
    <phoneticPr fontId="1" type="noConversion"/>
  </si>
  <si>
    <t>Baseline</t>
    <phoneticPr fontId="1" type="noConversion"/>
  </si>
  <si>
    <t>Male</t>
    <phoneticPr fontId="1" type="noConversion"/>
  </si>
  <si>
    <t>Wattmax(90%)</t>
    <phoneticPr fontId="1" type="noConversion"/>
  </si>
  <si>
    <t>Wattmax(40%)</t>
    <phoneticPr fontId="1" type="noConversion"/>
  </si>
  <si>
    <t>NIRS_VOT</t>
    <phoneticPr fontId="1" type="noConversion"/>
  </si>
  <si>
    <t>HRV</t>
    <phoneticPr fontId="1" type="noConversion"/>
  </si>
  <si>
    <t>Recovery2</t>
    <phoneticPr fontId="1" type="noConversion"/>
  </si>
  <si>
    <t>Start(Occ)</t>
    <phoneticPr fontId="1" type="noConversion"/>
  </si>
  <si>
    <t>Fin(Def)</t>
    <phoneticPr fontId="1" type="noConversion"/>
  </si>
  <si>
    <t>Ex1 start</t>
    <phoneticPr fontId="1" type="noConversion"/>
  </si>
  <si>
    <t>Ex1 Fin</t>
    <phoneticPr fontId="1" type="noConversion"/>
  </si>
  <si>
    <t>Ex2 start</t>
    <phoneticPr fontId="1" type="noConversion"/>
  </si>
  <si>
    <t>Ex2 Fin</t>
    <phoneticPr fontId="1" type="noConversion"/>
  </si>
  <si>
    <t>Time</t>
    <phoneticPr fontId="1" type="noConversion"/>
  </si>
  <si>
    <t>BP</t>
    <phoneticPr fontId="1" type="noConversion"/>
  </si>
  <si>
    <t>R1 30s</t>
    <phoneticPr fontId="1" type="noConversion"/>
  </si>
  <si>
    <t>R1 150s</t>
    <phoneticPr fontId="1" type="noConversion"/>
  </si>
  <si>
    <t>R1 270s</t>
    <phoneticPr fontId="1" type="noConversion"/>
  </si>
  <si>
    <t>R2 30s</t>
    <phoneticPr fontId="1" type="noConversion"/>
  </si>
  <si>
    <t>R2 150s</t>
    <phoneticPr fontId="1" type="noConversion"/>
  </si>
  <si>
    <t>R2 270s</t>
    <phoneticPr fontId="1" type="noConversion"/>
  </si>
  <si>
    <t>R2 600s</t>
    <phoneticPr fontId="1" type="noConversion"/>
  </si>
  <si>
    <t>R2 900s</t>
    <phoneticPr fontId="1" type="noConversion"/>
  </si>
  <si>
    <t>R2 1200s</t>
    <phoneticPr fontId="1" type="noConversion"/>
  </si>
  <si>
    <t>SpO2</t>
    <phoneticPr fontId="1" type="noConversion"/>
  </si>
  <si>
    <t>TQR</t>
    <phoneticPr fontId="1" type="noConversion"/>
  </si>
  <si>
    <t>La</t>
    <phoneticPr fontId="1" type="noConversion"/>
  </si>
  <si>
    <t>R1 IP</t>
    <phoneticPr fontId="1" type="noConversion"/>
  </si>
  <si>
    <t>R2 IP</t>
    <phoneticPr fontId="1" type="noConversion"/>
  </si>
  <si>
    <t>Wattmax(110%)</t>
    <phoneticPr fontId="1" type="noConversion"/>
  </si>
  <si>
    <t>-</t>
    <phoneticPr fontId="1" type="noConversion"/>
  </si>
  <si>
    <t>ID(Protocol)</t>
    <phoneticPr fontId="1" type="noConversion"/>
  </si>
  <si>
    <t>TTE1</t>
    <phoneticPr fontId="1" type="noConversion"/>
  </si>
  <si>
    <t>TTE2</t>
    <phoneticPr fontId="1" type="noConversion"/>
  </si>
  <si>
    <t>ID</t>
  </si>
  <si>
    <t>Age</t>
  </si>
  <si>
    <t>Weight_kg</t>
  </si>
  <si>
    <t>Height_cm</t>
  </si>
  <si>
    <t>Wattmax</t>
  </si>
  <si>
    <t>VO2max</t>
  </si>
  <si>
    <t>Condition</t>
  </si>
  <si>
    <t>Timepoint</t>
  </si>
  <si>
    <t>SBP</t>
  </si>
  <si>
    <t>DBP</t>
  </si>
  <si>
    <t>SpO2</t>
  </si>
  <si>
    <t>TQR</t>
  </si>
  <si>
    <t>Lactate</t>
  </si>
  <si>
    <t>TTE</t>
  </si>
  <si>
    <t>HR</t>
  </si>
  <si>
    <t>HR_End</t>
  </si>
  <si>
    <t>HRR_60s</t>
  </si>
  <si>
    <t>HRR_120s</t>
  </si>
  <si>
    <t>HRR_300s</t>
  </si>
  <si>
    <t>Thigh_Time_to_Base</t>
  </si>
  <si>
    <t>Thigh_Time_to_Half</t>
  </si>
  <si>
    <t>Thigh_SmO2_Base</t>
  </si>
  <si>
    <t>Thigh_SmO2_Min</t>
  </si>
  <si>
    <t>Thigh_SmO2_Peak</t>
  </si>
  <si>
    <t>Calf_SmO2_Base</t>
  </si>
  <si>
    <t>Calf_SmO2_Min</t>
  </si>
  <si>
    <t>Calf_SmO2_Peak</t>
  </si>
  <si>
    <t>VOT_Slope1_30_150</t>
  </si>
  <si>
    <t>VOT_Slope2_0_10</t>
  </si>
  <si>
    <t>VOT_T50</t>
  </si>
  <si>
    <t>AUC_3min</t>
  </si>
  <si>
    <t>HRV_SDNN</t>
  </si>
  <si>
    <t>HRV_RMSSD</t>
  </si>
  <si>
    <t>HRV_LF</t>
  </si>
  <si>
    <t>HRV_HF</t>
  </si>
  <si>
    <t>HRV_LF/HF</t>
  </si>
  <si>
    <t>Baseline</t>
  </si>
  <si>
    <t>R1_30s</t>
  </si>
  <si>
    <t>R1_150s</t>
  </si>
  <si>
    <t>R1_270s</t>
  </si>
  <si>
    <t>R2_30s</t>
  </si>
  <si>
    <t>R2_150s</t>
  </si>
  <si>
    <t>R2_270s</t>
  </si>
  <si>
    <t>R2_600s</t>
  </si>
  <si>
    <t>R2_900s</t>
  </si>
  <si>
    <t>R2_1200s</t>
  </si>
  <si>
    <t>HRR_Summary_S1</t>
  </si>
  <si>
    <t>HRR_Summary_S2</t>
  </si>
  <si>
    <t>VOT_Baseline</t>
  </si>
  <si>
    <t>VOT_Post</t>
  </si>
  <si>
    <t>R1_Summary</t>
  </si>
  <si>
    <t>R2_Summary</t>
  </si>
  <si>
    <t>HRV_Baseline</t>
  </si>
  <si>
    <t>HRV_Post</t>
  </si>
  <si>
    <t>안장 높이</t>
    <phoneticPr fontId="1" type="noConversion"/>
  </si>
  <si>
    <t>JH_08</t>
    <phoneticPr fontId="1" type="noConversion"/>
  </si>
  <si>
    <t>Leechanmin</t>
    <phoneticPr fontId="1" type="noConversion"/>
  </si>
  <si>
    <t>TTE_Maintenance_rate</t>
    <phoneticPr fontId="1" type="noConversion"/>
  </si>
  <si>
    <t>안정시 심박수</t>
    <phoneticPr fontId="1" type="noConversion"/>
  </si>
  <si>
    <t>HYPO</t>
    <phoneticPr fontId="1" type="noConversion"/>
  </si>
  <si>
    <t>5.3.6205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</si>
</sst>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14" fontId="0" fillId="0" borderId="0" xfId="0" applyNumberFormat="1"/>
    <xf numFmtId="21" fontId="0" fillId="0" borderId="0" xfId="0" applyNumberFormat="1"/>
    <xf numFmtId="21" fontId="0" fillId="0" borderId="1" xfId="0" applyNumberFormat="1" applyBorder="1"/>
    <xf numFmtId="0" fontId="0" fillId="0" borderId="1" xfId="0" applyBorder="1"/>
    <xf numFmtId="0" fontId="2" fillId="0" borderId="0" xfId="1">
      <alignment vertical="center"/>
    </xf>
    <xf numFmtId="0" fontId="2" fillId="0" borderId="1" xfId="1" applyBorder="1">
      <alignment vertic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표준" xfId="0" builtinId="0"/>
    <cellStyle name="표준_Sheet1" xfId="1" xr:uid="{82963DEC-6800-46F7-9A1C-EF89EE93E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K11" sqref="K11"/>
    </sheetView>
  </sheetViews>
  <sheetFormatPr defaultRowHeight="16.5"/>
  <cols>
    <col min="2" max="2" width="14.75" bestFit="1" customWidth="1"/>
    <col min="3" max="3" width="11.125" bestFit="1" customWidth="1"/>
    <col min="6" max="7" width="11.125" bestFit="1" customWidth="1"/>
    <col min="14" max="15" width="14.25" bestFit="1" customWidth="1"/>
    <col min="16" max="16" width="15.375" bestFit="1" customWidth="1"/>
  </cols>
  <sheetData>
    <row r="1" spans="1:18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41</v>
      </c>
      <c r="Q1" t="s">
        <v>100</v>
      </c>
      <c r="R1" t="s">
        <v>104</v>
      </c>
    </row>
    <row r="2" spans="1:18">
      <c r="A2" t="s">
        <v>101</v>
      </c>
      <c r="B2" t="s">
        <v>102</v>
      </c>
      <c r="C2" s="1">
        <v>38938</v>
      </c>
      <c r="D2">
        <f>DATEDIF(C2, DATE(2025, 11, 28), "y")</f>
        <v>19</v>
      </c>
      <c r="E2" t="s">
        <v>13</v>
      </c>
      <c r="F2">
        <v>69.2</v>
      </c>
      <c r="G2">
        <v>176.9</v>
      </c>
      <c r="H2">
        <v>370</v>
      </c>
      <c r="I2">
        <v>67.099999999999994</v>
      </c>
      <c r="J2">
        <f>H2/F2</f>
        <v>5.3468208092485545</v>
      </c>
      <c r="K2">
        <f>H2/100*75</f>
        <v>277.5</v>
      </c>
      <c r="N2">
        <f>H2/100*90</f>
        <v>333</v>
      </c>
      <c r="O2">
        <f>H2/100*40</f>
        <v>148</v>
      </c>
      <c r="P2">
        <f>H2/100*110</f>
        <v>407</v>
      </c>
      <c r="Q2">
        <v>8.1999999999999993</v>
      </c>
      <c r="R2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C9B0-C643-401B-8510-453881303896}">
  <dimension ref="A1:G9"/>
  <sheetViews>
    <sheetView tabSelected="1" workbookViewId="0">
      <selection activeCell="K19" sqref="K19"/>
    </sheetView>
  </sheetViews>
  <sheetFormatPr defaultRowHeight="16.5"/>
  <cols>
    <col min="2" max="2" width="14.375" bestFit="1" customWidth="1"/>
    <col min="3" max="3" width="15.375" bestFit="1" customWidth="1"/>
    <col min="4" max="4" width="10.875" bestFit="1" customWidth="1"/>
    <col min="5" max="5" width="11.875" bestFit="1" customWidth="1"/>
    <col min="6" max="6" width="8.5" bestFit="1" customWidth="1"/>
  </cols>
  <sheetData>
    <row r="1" spans="1:7">
      <c r="B1" s="9" t="s">
        <v>16</v>
      </c>
      <c r="C1" s="9"/>
      <c r="D1" s="9" t="s">
        <v>17</v>
      </c>
      <c r="E1" s="9"/>
    </row>
    <row r="2" spans="1:7">
      <c r="A2" s="4"/>
      <c r="B2" s="3" t="s">
        <v>12</v>
      </c>
      <c r="C2" s="3" t="s">
        <v>18</v>
      </c>
      <c r="D2" s="3" t="s">
        <v>12</v>
      </c>
      <c r="E2" s="3" t="s">
        <v>18</v>
      </c>
      <c r="F2" s="2"/>
      <c r="G2" s="2"/>
    </row>
    <row r="3" spans="1:7">
      <c r="A3" s="4" t="s">
        <v>19</v>
      </c>
      <c r="B3" s="3">
        <v>0.51076388888888891</v>
      </c>
      <c r="C3" s="3">
        <v>0.55069444444444449</v>
      </c>
      <c r="D3" s="3">
        <v>0.50277777777777777</v>
      </c>
      <c r="E3" s="3">
        <v>0.55486111111111114</v>
      </c>
    </row>
    <row r="4" spans="1:7">
      <c r="A4" s="4" t="s">
        <v>20</v>
      </c>
      <c r="B4" s="3">
        <v>0.51423611111111112</v>
      </c>
      <c r="C4" s="3">
        <v>0.5541666666666667</v>
      </c>
      <c r="D4" s="3">
        <v>0.50972222222222219</v>
      </c>
      <c r="E4" s="3">
        <v>0.56180555555555556</v>
      </c>
    </row>
    <row r="5" spans="1:7">
      <c r="D5" s="2"/>
    </row>
    <row r="7" spans="1:7">
      <c r="A7" s="4"/>
      <c r="B7" s="4" t="s">
        <v>21</v>
      </c>
      <c r="C7" s="4" t="s">
        <v>22</v>
      </c>
      <c r="D7" s="4" t="s">
        <v>23</v>
      </c>
      <c r="E7" s="4" t="s">
        <v>24</v>
      </c>
    </row>
    <row r="8" spans="1:7">
      <c r="A8" s="4" t="s">
        <v>25</v>
      </c>
      <c r="B8" s="3">
        <v>0.52361111111111114</v>
      </c>
      <c r="C8" s="3">
        <v>0.5277546296296296</v>
      </c>
      <c r="D8" s="3">
        <v>0.53141203703703699</v>
      </c>
      <c r="E8" s="3">
        <v>0.53528935185185189</v>
      </c>
      <c r="F8" t="s">
        <v>103</v>
      </c>
      <c r="G8" s="2">
        <v>3.472222222222222E-3</v>
      </c>
    </row>
    <row r="9" spans="1:7">
      <c r="B9" t="s">
        <v>44</v>
      </c>
      <c r="C9" s="2">
        <f>C8-B8-G8</f>
        <v>6.7129629629624106E-4</v>
      </c>
      <c r="D9" t="s">
        <v>45</v>
      </c>
      <c r="E9" s="2">
        <f>E8-D8-G8</f>
        <v>4.0509259259268078E-4</v>
      </c>
      <c r="F9">
        <f>E9/C9*100</f>
        <v>60.344827586225001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85E7-5768-46B4-9EA5-3100F4710A8B}">
  <dimension ref="A1:J14"/>
  <sheetViews>
    <sheetView workbookViewId="0">
      <selection activeCell="I5" sqref="I5"/>
    </sheetView>
  </sheetViews>
  <sheetFormatPr defaultRowHeight="16.5"/>
  <sheetData>
    <row r="1" spans="1:10">
      <c r="B1" s="10" t="s">
        <v>26</v>
      </c>
      <c r="C1" s="10"/>
    </row>
    <row r="2" spans="1:10">
      <c r="A2">
        <v>1</v>
      </c>
      <c r="B2" s="4">
        <v>121</v>
      </c>
      <c r="C2" s="4">
        <v>77</v>
      </c>
    </row>
    <row r="3" spans="1:10">
      <c r="A3">
        <v>2</v>
      </c>
      <c r="B3" s="4">
        <v>114</v>
      </c>
      <c r="C3" s="4">
        <v>74</v>
      </c>
    </row>
    <row r="4" spans="1:10">
      <c r="A4">
        <v>3</v>
      </c>
      <c r="B4" s="4">
        <v>127</v>
      </c>
      <c r="C4" s="4">
        <v>77</v>
      </c>
      <c r="E4" s="4" t="s">
        <v>36</v>
      </c>
      <c r="G4" s="4" t="s">
        <v>37</v>
      </c>
      <c r="I4" s="4" t="s">
        <v>38</v>
      </c>
    </row>
    <row r="5" spans="1:10">
      <c r="A5" t="s">
        <v>12</v>
      </c>
      <c r="B5" s="4">
        <f>AVERAGE(B2:B4)</f>
        <v>120.66666666666667</v>
      </c>
      <c r="C5" s="4">
        <f>AVERAGE(C2:C4)</f>
        <v>76</v>
      </c>
      <c r="D5" t="s">
        <v>12</v>
      </c>
      <c r="E5" s="4">
        <v>97</v>
      </c>
      <c r="F5" t="s">
        <v>12</v>
      </c>
      <c r="G5" s="4" t="s">
        <v>42</v>
      </c>
      <c r="H5" t="s">
        <v>12</v>
      </c>
      <c r="I5" s="4">
        <v>1.7</v>
      </c>
    </row>
    <row r="6" spans="1:10">
      <c r="A6" t="s">
        <v>27</v>
      </c>
      <c r="B6" s="4">
        <v>165</v>
      </c>
      <c r="C6" s="4">
        <v>82</v>
      </c>
      <c r="D6" t="s">
        <v>27</v>
      </c>
      <c r="E6" s="4">
        <v>96</v>
      </c>
      <c r="F6" t="s">
        <v>27</v>
      </c>
      <c r="G6" s="4">
        <v>7</v>
      </c>
      <c r="H6" t="s">
        <v>39</v>
      </c>
      <c r="I6" s="4">
        <v>6.8</v>
      </c>
      <c r="J6" s="7"/>
    </row>
    <row r="7" spans="1:10">
      <c r="A7" t="s">
        <v>28</v>
      </c>
      <c r="B7" s="4">
        <v>160</v>
      </c>
      <c r="C7" s="4">
        <v>81</v>
      </c>
      <c r="D7" t="s">
        <v>28</v>
      </c>
      <c r="E7" s="4">
        <v>94</v>
      </c>
      <c r="F7" t="s">
        <v>28</v>
      </c>
      <c r="G7" s="4">
        <v>12</v>
      </c>
      <c r="H7" t="s">
        <v>29</v>
      </c>
      <c r="I7" s="4">
        <v>12.2</v>
      </c>
    </row>
    <row r="8" spans="1:10">
      <c r="A8" t="s">
        <v>29</v>
      </c>
      <c r="B8" s="4">
        <v>145</v>
      </c>
      <c r="C8" s="4">
        <v>64</v>
      </c>
      <c r="D8" t="s">
        <v>29</v>
      </c>
      <c r="E8" s="4">
        <v>92</v>
      </c>
      <c r="F8" t="s">
        <v>29</v>
      </c>
      <c r="G8" s="4">
        <v>16</v>
      </c>
      <c r="H8" t="s">
        <v>40</v>
      </c>
      <c r="I8" s="4">
        <v>14.6</v>
      </c>
      <c r="J8" s="7"/>
    </row>
    <row r="9" spans="1:10">
      <c r="A9" t="s">
        <v>30</v>
      </c>
      <c r="B9" s="4">
        <v>172</v>
      </c>
      <c r="C9" s="4">
        <v>97</v>
      </c>
      <c r="D9" t="s">
        <v>30</v>
      </c>
      <c r="E9" s="4">
        <v>93</v>
      </c>
      <c r="F9" t="s">
        <v>30</v>
      </c>
      <c r="G9" s="4">
        <v>7</v>
      </c>
      <c r="H9" t="s">
        <v>35</v>
      </c>
      <c r="I9" s="4">
        <v>5.4</v>
      </c>
      <c r="J9" s="8"/>
    </row>
    <row r="10" spans="1:10">
      <c r="A10" t="s">
        <v>31</v>
      </c>
      <c r="B10" s="4">
        <v>139</v>
      </c>
      <c r="C10" s="4">
        <v>74</v>
      </c>
      <c r="D10" t="s">
        <v>31</v>
      </c>
      <c r="E10" s="4">
        <v>93</v>
      </c>
      <c r="F10" t="s">
        <v>31</v>
      </c>
      <c r="G10" s="4">
        <v>11</v>
      </c>
    </row>
    <row r="11" spans="1:10">
      <c r="A11" t="s">
        <v>32</v>
      </c>
      <c r="B11" s="4">
        <v>135</v>
      </c>
      <c r="C11" s="4">
        <v>59</v>
      </c>
      <c r="D11" t="s">
        <v>32</v>
      </c>
      <c r="E11" s="4">
        <v>93</v>
      </c>
      <c r="F11" t="s">
        <v>32</v>
      </c>
      <c r="G11" s="4">
        <v>15</v>
      </c>
    </row>
    <row r="12" spans="1:10">
      <c r="A12" t="s">
        <v>33</v>
      </c>
      <c r="B12" s="4">
        <v>128</v>
      </c>
      <c r="C12" s="4">
        <v>70</v>
      </c>
      <c r="D12" t="s">
        <v>33</v>
      </c>
      <c r="E12" s="4">
        <v>91</v>
      </c>
      <c r="F12" t="s">
        <v>33</v>
      </c>
      <c r="G12" s="4">
        <v>17</v>
      </c>
    </row>
    <row r="13" spans="1:10">
      <c r="A13" t="s">
        <v>34</v>
      </c>
      <c r="B13" s="4">
        <v>114</v>
      </c>
      <c r="C13" s="4">
        <v>71</v>
      </c>
      <c r="D13" t="s">
        <v>34</v>
      </c>
      <c r="E13" s="4">
        <v>92</v>
      </c>
      <c r="F13" t="s">
        <v>34</v>
      </c>
      <c r="G13" s="4">
        <v>19</v>
      </c>
    </row>
    <row r="14" spans="1:10">
      <c r="A14" t="s">
        <v>35</v>
      </c>
      <c r="B14" s="4">
        <v>128</v>
      </c>
      <c r="C14" s="4">
        <v>74</v>
      </c>
      <c r="D14" t="s">
        <v>35</v>
      </c>
      <c r="E14" s="4">
        <v>89</v>
      </c>
      <c r="F14" t="s">
        <v>35</v>
      </c>
      <c r="G14" s="4">
        <v>20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1615-2EF7-4C44-8C03-080B868DE1B1}">
  <dimension ref="A1:AK19"/>
  <sheetViews>
    <sheetView topLeftCell="F1" workbookViewId="0">
      <selection activeCell="L27" sqref="L27"/>
    </sheetView>
  </sheetViews>
  <sheetFormatPr defaultRowHeight="16.5"/>
  <sheetData>
    <row r="1" spans="1:37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103</v>
      </c>
      <c r="P1" s="5" t="s">
        <v>60</v>
      </c>
      <c r="Q1" s="5" t="s">
        <v>61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66</v>
      </c>
      <c r="W1" s="5" t="s">
        <v>67</v>
      </c>
      <c r="X1" s="5" t="s">
        <v>68</v>
      </c>
      <c r="Y1" s="5" t="s">
        <v>69</v>
      </c>
      <c r="Z1" s="5" t="s">
        <v>70</v>
      </c>
      <c r="AA1" s="5" t="s">
        <v>71</v>
      </c>
      <c r="AB1" s="5" t="s">
        <v>72</v>
      </c>
      <c r="AC1" s="5" t="s">
        <v>73</v>
      </c>
      <c r="AD1" s="5" t="s">
        <v>74</v>
      </c>
      <c r="AE1" s="5" t="s">
        <v>75</v>
      </c>
      <c r="AF1" s="5" t="s">
        <v>76</v>
      </c>
      <c r="AG1" s="5" t="s">
        <v>77</v>
      </c>
      <c r="AH1" s="5" t="s">
        <v>78</v>
      </c>
      <c r="AI1" s="5" t="s">
        <v>79</v>
      </c>
      <c r="AJ1" s="5" t="s">
        <v>80</v>
      </c>
      <c r="AK1" s="5" t="s">
        <v>81</v>
      </c>
    </row>
    <row r="2" spans="1:37">
      <c r="A2" s="6" t="s">
        <v>101</v>
      </c>
      <c r="B2" s="6">
        <v>19</v>
      </c>
      <c r="C2" s="6">
        <v>69.599999999999994</v>
      </c>
      <c r="D2" s="6">
        <v>176.9</v>
      </c>
      <c r="E2" s="6">
        <v>370</v>
      </c>
      <c r="F2" s="6">
        <v>67.099999999999994</v>
      </c>
      <c r="G2" s="6" t="s">
        <v>105</v>
      </c>
      <c r="H2" s="6" t="s">
        <v>82</v>
      </c>
      <c r="I2" s="6">
        <v>120.66666666666667</v>
      </c>
      <c r="J2" s="6">
        <v>76</v>
      </c>
      <c r="K2" s="4">
        <v>97</v>
      </c>
      <c r="L2" s="5"/>
      <c r="M2" s="6">
        <v>1.7</v>
      </c>
      <c r="N2" s="5"/>
      <c r="O2" s="5"/>
      <c r="P2" s="6">
        <v>78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6" t="s">
        <v>101</v>
      </c>
      <c r="B3" s="6">
        <v>19</v>
      </c>
      <c r="C3" s="6">
        <v>69.599999999999994</v>
      </c>
      <c r="D3" s="6">
        <v>176.9</v>
      </c>
      <c r="E3" s="6">
        <v>370</v>
      </c>
      <c r="F3" s="6">
        <v>67.099999999999994</v>
      </c>
      <c r="G3" s="6" t="s">
        <v>105</v>
      </c>
      <c r="H3" s="6" t="s">
        <v>83</v>
      </c>
      <c r="I3" s="6">
        <v>165</v>
      </c>
      <c r="J3" s="6">
        <v>82</v>
      </c>
      <c r="K3" s="4">
        <v>96</v>
      </c>
      <c r="L3" s="4">
        <v>7</v>
      </c>
      <c r="M3" s="6">
        <v>6.8</v>
      </c>
      <c r="N3" s="5"/>
      <c r="O3" s="5"/>
      <c r="P3" s="6">
        <v>181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>
      <c r="A4" s="6" t="s">
        <v>101</v>
      </c>
      <c r="B4" s="6">
        <v>19</v>
      </c>
      <c r="C4" s="6">
        <v>69.599999999999994</v>
      </c>
      <c r="D4" s="6">
        <v>176.9</v>
      </c>
      <c r="E4" s="6">
        <v>370</v>
      </c>
      <c r="F4" s="6">
        <v>67.099999999999994</v>
      </c>
      <c r="G4" s="6" t="s">
        <v>105</v>
      </c>
      <c r="H4" s="6" t="s">
        <v>84</v>
      </c>
      <c r="I4" s="6">
        <v>160</v>
      </c>
      <c r="J4" s="6">
        <v>81</v>
      </c>
      <c r="K4" s="4">
        <v>94</v>
      </c>
      <c r="L4" s="4">
        <v>12</v>
      </c>
      <c r="M4" s="5"/>
      <c r="N4" s="5"/>
      <c r="O4" s="5"/>
      <c r="P4" s="6">
        <v>126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6" t="s">
        <v>101</v>
      </c>
      <c r="B5" s="6">
        <v>19</v>
      </c>
      <c r="C5" s="6">
        <v>69.599999999999994</v>
      </c>
      <c r="D5" s="6">
        <v>176.9</v>
      </c>
      <c r="E5" s="6">
        <v>370</v>
      </c>
      <c r="F5" s="6">
        <v>67.099999999999994</v>
      </c>
      <c r="G5" s="6" t="s">
        <v>105</v>
      </c>
      <c r="H5" s="6" t="s">
        <v>85</v>
      </c>
      <c r="I5" s="6">
        <v>145</v>
      </c>
      <c r="J5" s="6">
        <v>64</v>
      </c>
      <c r="K5" s="4">
        <v>92</v>
      </c>
      <c r="L5" s="4">
        <v>16</v>
      </c>
      <c r="M5" s="6">
        <v>12.2</v>
      </c>
      <c r="N5" s="5"/>
      <c r="O5" s="5"/>
      <c r="P5" s="6">
        <v>109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6" t="s">
        <v>101</v>
      </c>
      <c r="B6" s="6">
        <v>19</v>
      </c>
      <c r="C6" s="6">
        <v>69.599999999999994</v>
      </c>
      <c r="D6" s="6">
        <v>176.9</v>
      </c>
      <c r="E6" s="6">
        <v>370</v>
      </c>
      <c r="F6" s="6">
        <v>67.099999999999994</v>
      </c>
      <c r="G6" s="6" t="s">
        <v>105</v>
      </c>
      <c r="H6" s="6" t="s">
        <v>86</v>
      </c>
      <c r="I6" s="6">
        <v>172</v>
      </c>
      <c r="J6" s="6">
        <v>97</v>
      </c>
      <c r="K6" s="4">
        <v>93</v>
      </c>
      <c r="L6" s="4">
        <v>7</v>
      </c>
      <c r="M6" s="6">
        <v>14.6</v>
      </c>
      <c r="N6" s="5"/>
      <c r="O6" s="5"/>
      <c r="P6" s="6">
        <v>184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6" t="s">
        <v>101</v>
      </c>
      <c r="B7" s="6">
        <v>19</v>
      </c>
      <c r="C7" s="6">
        <v>69.599999999999994</v>
      </c>
      <c r="D7" s="6">
        <v>176.9</v>
      </c>
      <c r="E7" s="6">
        <v>370</v>
      </c>
      <c r="F7" s="6">
        <v>67.099999999999994</v>
      </c>
      <c r="G7" s="6" t="s">
        <v>105</v>
      </c>
      <c r="H7" s="6" t="s">
        <v>87</v>
      </c>
      <c r="I7" s="6">
        <v>139</v>
      </c>
      <c r="J7" s="6">
        <v>74</v>
      </c>
      <c r="K7" s="4">
        <v>93</v>
      </c>
      <c r="L7" s="4">
        <v>11</v>
      </c>
      <c r="M7" s="5"/>
      <c r="N7" s="5"/>
      <c r="O7" s="5"/>
      <c r="P7" s="6">
        <v>121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6" t="s">
        <v>101</v>
      </c>
      <c r="B8" s="6">
        <v>19</v>
      </c>
      <c r="C8" s="6">
        <v>69.599999999999994</v>
      </c>
      <c r="D8" s="6">
        <v>176.9</v>
      </c>
      <c r="E8" s="6">
        <v>370</v>
      </c>
      <c r="F8" s="6">
        <v>67.099999999999994</v>
      </c>
      <c r="G8" s="6" t="s">
        <v>105</v>
      </c>
      <c r="H8" s="6" t="s">
        <v>88</v>
      </c>
      <c r="I8" s="6">
        <v>135</v>
      </c>
      <c r="J8" s="6">
        <v>59</v>
      </c>
      <c r="K8" s="4">
        <v>93</v>
      </c>
      <c r="L8" s="4">
        <v>15</v>
      </c>
      <c r="M8" s="5"/>
      <c r="N8" s="5"/>
      <c r="O8" s="5"/>
      <c r="P8" s="6">
        <v>109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6" t="s">
        <v>101</v>
      </c>
      <c r="B9" s="6">
        <v>19</v>
      </c>
      <c r="C9" s="6">
        <v>69.599999999999994</v>
      </c>
      <c r="D9" s="6">
        <v>176.9</v>
      </c>
      <c r="E9" s="6">
        <v>370</v>
      </c>
      <c r="F9" s="6">
        <v>67.099999999999994</v>
      </c>
      <c r="G9" s="6" t="s">
        <v>105</v>
      </c>
      <c r="H9" s="6" t="s">
        <v>89</v>
      </c>
      <c r="I9" s="6">
        <v>128</v>
      </c>
      <c r="J9" s="6">
        <v>70</v>
      </c>
      <c r="K9" s="4">
        <v>91</v>
      </c>
      <c r="L9" s="4">
        <v>17</v>
      </c>
      <c r="M9" s="5"/>
      <c r="N9" s="5"/>
      <c r="O9" s="5"/>
      <c r="P9" s="6">
        <v>105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6" t="s">
        <v>101</v>
      </c>
      <c r="B10" s="6">
        <v>19</v>
      </c>
      <c r="C10" s="6">
        <v>69.599999999999994</v>
      </c>
      <c r="D10" s="6">
        <v>176.9</v>
      </c>
      <c r="E10" s="6">
        <v>370</v>
      </c>
      <c r="F10" s="6">
        <v>67.099999999999994</v>
      </c>
      <c r="G10" s="6" t="s">
        <v>105</v>
      </c>
      <c r="H10" s="6" t="s">
        <v>90</v>
      </c>
      <c r="I10" s="6">
        <v>114</v>
      </c>
      <c r="J10" s="6">
        <v>71</v>
      </c>
      <c r="K10" s="4">
        <v>92</v>
      </c>
      <c r="L10" s="4">
        <v>19</v>
      </c>
      <c r="M10" s="5"/>
      <c r="N10" s="5"/>
      <c r="O10" s="5"/>
      <c r="P10" s="6">
        <v>102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6" t="s">
        <v>101</v>
      </c>
      <c r="B11" s="6">
        <v>19</v>
      </c>
      <c r="C11" s="6">
        <v>69.599999999999994</v>
      </c>
      <c r="D11" s="6">
        <v>176.9</v>
      </c>
      <c r="E11" s="6">
        <v>370</v>
      </c>
      <c r="F11" s="6">
        <v>67.099999999999994</v>
      </c>
      <c r="G11" s="6" t="s">
        <v>105</v>
      </c>
      <c r="H11" s="6" t="s">
        <v>91</v>
      </c>
      <c r="I11" s="6">
        <v>128</v>
      </c>
      <c r="J11" s="6">
        <v>74</v>
      </c>
      <c r="K11" s="4">
        <v>89</v>
      </c>
      <c r="L11" s="4">
        <v>20</v>
      </c>
      <c r="M11" s="6">
        <v>5.4</v>
      </c>
      <c r="N11" s="5"/>
      <c r="O11" s="5"/>
      <c r="P11" s="6">
        <v>102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6" t="s">
        <v>101</v>
      </c>
      <c r="B12" s="6">
        <v>19</v>
      </c>
      <c r="C12" s="6">
        <v>69.599999999999994</v>
      </c>
      <c r="D12" s="6">
        <v>176.9</v>
      </c>
      <c r="E12" s="6">
        <v>370</v>
      </c>
      <c r="F12" s="6">
        <v>67.099999999999994</v>
      </c>
      <c r="G12" s="6" t="s">
        <v>105</v>
      </c>
      <c r="H12" s="6" t="s">
        <v>92</v>
      </c>
      <c r="I12" s="5"/>
      <c r="J12" s="5"/>
      <c r="K12" s="5"/>
      <c r="L12" s="5"/>
      <c r="M12" s="5"/>
      <c r="N12" s="5"/>
      <c r="O12" s="5"/>
      <c r="P12" s="5"/>
      <c r="Q12" s="6">
        <v>189</v>
      </c>
      <c r="R12" s="6">
        <v>169</v>
      </c>
      <c r="S12" s="6">
        <v>139</v>
      </c>
      <c r="T12" s="6">
        <v>118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6" t="s">
        <v>101</v>
      </c>
      <c r="B13" s="6">
        <v>19</v>
      </c>
      <c r="C13" s="6">
        <v>69.599999999999994</v>
      </c>
      <c r="D13" s="6">
        <v>176.9</v>
      </c>
      <c r="E13" s="6">
        <v>370</v>
      </c>
      <c r="F13" s="6">
        <v>67.099999999999994</v>
      </c>
      <c r="G13" s="6" t="s">
        <v>105</v>
      </c>
      <c r="H13" s="6" t="s">
        <v>93</v>
      </c>
      <c r="I13" s="5"/>
      <c r="J13" s="5"/>
      <c r="K13" s="5"/>
      <c r="L13" s="5"/>
      <c r="M13" s="5"/>
      <c r="N13" s="5"/>
      <c r="O13" s="5"/>
      <c r="P13" s="5"/>
      <c r="Q13" s="6">
        <v>191</v>
      </c>
      <c r="R13" s="6">
        <v>167</v>
      </c>
      <c r="S13" s="6">
        <v>135</v>
      </c>
      <c r="T13" s="6">
        <v>111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6" t="s">
        <v>101</v>
      </c>
      <c r="B14" s="6">
        <v>19</v>
      </c>
      <c r="C14" s="6">
        <v>69.599999999999994</v>
      </c>
      <c r="D14" s="6">
        <v>176.9</v>
      </c>
      <c r="E14" s="6">
        <v>370</v>
      </c>
      <c r="F14" s="6">
        <v>67.099999999999994</v>
      </c>
      <c r="G14" s="6" t="s">
        <v>105</v>
      </c>
      <c r="H14" s="6" t="s">
        <v>94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>
        <v>70.134259999999998</v>
      </c>
      <c r="AA14" s="6">
        <v>23.55556</v>
      </c>
      <c r="AB14" s="6">
        <v>79.888890000000004</v>
      </c>
      <c r="AC14" s="6">
        <v>-0.17349999999999999</v>
      </c>
      <c r="AD14" s="6" t="s">
        <v>106</v>
      </c>
      <c r="AE14" s="6">
        <v>5.85</v>
      </c>
      <c r="AF14" s="6">
        <v>13.25741</v>
      </c>
      <c r="AG14" s="5"/>
      <c r="AH14" s="5"/>
      <c r="AI14" s="5"/>
      <c r="AJ14" s="5"/>
      <c r="AK14" s="5"/>
    </row>
    <row r="15" spans="1:37">
      <c r="A15" s="6" t="s">
        <v>101</v>
      </c>
      <c r="B15" s="6">
        <v>19</v>
      </c>
      <c r="C15" s="6">
        <v>69.599999999999994</v>
      </c>
      <c r="D15" s="6">
        <v>176.9</v>
      </c>
      <c r="E15" s="6">
        <v>370</v>
      </c>
      <c r="F15" s="6">
        <v>67.099999999999994</v>
      </c>
      <c r="G15" s="6" t="s">
        <v>105</v>
      </c>
      <c r="H15" s="6" t="s">
        <v>95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>
        <v>63.968519999999998</v>
      </c>
      <c r="AA15" s="6">
        <v>8.4444440000000007</v>
      </c>
      <c r="AB15" s="6">
        <v>79.333330000000004</v>
      </c>
      <c r="AC15" s="6">
        <v>-0.23624000000000001</v>
      </c>
      <c r="AD15" s="6">
        <v>0.52265499999999998</v>
      </c>
      <c r="AE15" s="6">
        <v>14.75</v>
      </c>
      <c r="AF15" s="6">
        <v>18.852920000000001</v>
      </c>
      <c r="AG15" s="5"/>
      <c r="AH15" s="5"/>
      <c r="AI15" s="5"/>
      <c r="AJ15" s="5"/>
      <c r="AK15" s="5"/>
    </row>
    <row r="16" spans="1:37">
      <c r="A16" s="6" t="s">
        <v>101</v>
      </c>
      <c r="B16" s="6">
        <v>19</v>
      </c>
      <c r="C16" s="6">
        <v>69.599999999999994</v>
      </c>
      <c r="D16" s="6">
        <v>176.9</v>
      </c>
      <c r="E16" s="6">
        <v>370</v>
      </c>
      <c r="F16" s="6">
        <v>67.099999999999994</v>
      </c>
      <c r="G16" s="6" t="s">
        <v>105</v>
      </c>
      <c r="H16" s="6" t="s">
        <v>96</v>
      </c>
      <c r="I16" s="5"/>
      <c r="J16" s="5"/>
      <c r="K16" s="5"/>
      <c r="L16" s="5"/>
      <c r="M16" s="5"/>
      <c r="N16" s="6">
        <v>58</v>
      </c>
      <c r="O16" s="5"/>
      <c r="P16" s="5"/>
      <c r="Q16" s="5"/>
      <c r="R16" s="5"/>
      <c r="S16" s="5"/>
      <c r="T16" s="5"/>
      <c r="U16" s="6">
        <v>51.5</v>
      </c>
      <c r="V16" s="6">
        <v>17</v>
      </c>
      <c r="W16" s="6">
        <v>81</v>
      </c>
      <c r="X16" s="6">
        <v>7.7</v>
      </c>
      <c r="Y16" s="6">
        <v>82.5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6" t="s">
        <v>101</v>
      </c>
      <c r="B17" s="6">
        <v>19</v>
      </c>
      <c r="C17" s="6">
        <v>69.599999999999994</v>
      </c>
      <c r="D17" s="6">
        <v>176.9</v>
      </c>
      <c r="E17" s="6">
        <v>370</v>
      </c>
      <c r="F17" s="6">
        <v>67.099999999999994</v>
      </c>
      <c r="G17" s="6" t="s">
        <v>105</v>
      </c>
      <c r="H17" s="6" t="s">
        <v>97</v>
      </c>
      <c r="I17" s="5"/>
      <c r="J17" s="5"/>
      <c r="K17" s="5"/>
      <c r="L17" s="5"/>
      <c r="M17" s="5"/>
      <c r="N17" s="6">
        <v>35</v>
      </c>
      <c r="O17" s="6">
        <v>60.344799999999999</v>
      </c>
      <c r="P17" s="5"/>
      <c r="Q17" s="5"/>
      <c r="R17" s="5"/>
      <c r="S17" s="5"/>
      <c r="T17" s="5"/>
      <c r="U17" s="6">
        <v>47.5</v>
      </c>
      <c r="V17" s="6">
        <v>19.5</v>
      </c>
      <c r="W17" s="6">
        <v>81</v>
      </c>
      <c r="X17" s="6">
        <v>7.2</v>
      </c>
      <c r="Y17" s="6">
        <v>83.5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6" t="s">
        <v>101</v>
      </c>
      <c r="B18" s="6">
        <v>19</v>
      </c>
      <c r="C18" s="6">
        <v>69.599999999999994</v>
      </c>
      <c r="D18" s="6">
        <v>176.9</v>
      </c>
      <c r="E18" s="6">
        <v>370</v>
      </c>
      <c r="F18" s="6">
        <v>67.099999999999994</v>
      </c>
      <c r="G18" s="6" t="s">
        <v>105</v>
      </c>
      <c r="H18" s="6" t="s">
        <v>98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>
        <v>41.2</v>
      </c>
      <c r="AH18" s="6">
        <v>36.200000000000003</v>
      </c>
      <c r="AI18" s="6">
        <v>51.55</v>
      </c>
      <c r="AJ18" s="6">
        <v>48.45</v>
      </c>
      <c r="AK18" s="6">
        <v>1.0640000000000001</v>
      </c>
    </row>
    <row r="19" spans="1:37">
      <c r="A19" s="6" t="s">
        <v>101</v>
      </c>
      <c r="B19" s="6">
        <v>19</v>
      </c>
      <c r="C19" s="6">
        <v>69.599999999999994</v>
      </c>
      <c r="D19" s="6">
        <v>176.9</v>
      </c>
      <c r="E19" s="6">
        <v>370</v>
      </c>
      <c r="F19" s="6">
        <v>67.099999999999994</v>
      </c>
      <c r="G19" s="6" t="s">
        <v>105</v>
      </c>
      <c r="H19" s="6" t="s">
        <v>99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25.5</v>
      </c>
      <c r="AH19" s="6">
        <v>16.3</v>
      </c>
      <c r="AI19" s="6">
        <v>75.599999999999994</v>
      </c>
      <c r="AJ19" s="6">
        <v>24.4</v>
      </c>
      <c r="AK19" s="6">
        <v>3.0979999999999999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Info,GXT</vt:lpstr>
      <vt:lpstr>Timepoint</vt:lpstr>
      <vt:lpstr>SpO2,BP,TQR,La</vt:lpstr>
      <vt:lpstr>Coded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 재혁</cp:lastModifiedBy>
  <dcterms:created xsi:type="dcterms:W3CDTF">2015-06-05T18:19:34Z</dcterms:created>
  <dcterms:modified xsi:type="dcterms:W3CDTF">2026-03-03T10:13:20Z</dcterms:modified>
</cp:coreProperties>
</file>